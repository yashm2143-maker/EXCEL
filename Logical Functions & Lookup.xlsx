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a5fd1699a4b977/Documents/"/>
    </mc:Choice>
  </mc:AlternateContent>
  <xr:revisionPtr revIDLastSave="236" documentId="8_{7183FED2-D9C3-4168-9F73-E8DB0C074D22}" xr6:coauthVersionLast="47" xr6:coauthVersionMax="47" xr10:uidLastSave="{EE1AE622-454D-422D-AF8F-D7D2B1FF7C72}"/>
  <bookViews>
    <workbookView xWindow="-108" yWindow="-108" windowWidth="23256" windowHeight="12456" activeTab="7" xr2:uid="{0DD5DF08-BF39-42E1-9F44-38AD23AC495E}"/>
  </bookViews>
  <sheets>
    <sheet name="Q1" sheetId="1" r:id="rId1"/>
    <sheet name="Q2" sheetId="2" r:id="rId2"/>
    <sheet name="Q3" sheetId="4" r:id="rId3"/>
    <sheet name="Q4" sheetId="5" r:id="rId4"/>
    <sheet name="Q5" sheetId="6" r:id="rId5"/>
    <sheet name="Q6" sheetId="7" r:id="rId6"/>
    <sheet name="Q7" sheetId="8" r:id="rId7"/>
    <sheet name="Q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9" l="1"/>
  <c r="F18" i="8"/>
  <c r="H22" i="7"/>
  <c r="H23" i="7"/>
  <c r="H21" i="7"/>
  <c r="F18" i="6"/>
  <c r="H18" i="5"/>
  <c r="F19" i="4" l="1"/>
  <c r="F20" i="4"/>
  <c r="F21" i="4"/>
  <c r="F22" i="4"/>
  <c r="F18" i="4"/>
  <c r="H21" i="2" l="1"/>
  <c r="H22" i="2"/>
  <c r="H23" i="2"/>
  <c r="H20" i="2"/>
  <c r="H27" i="1"/>
  <c r="H28" i="1"/>
  <c r="H29" i="1"/>
  <c r="H30" i="1"/>
  <c r="H31" i="1"/>
</calcChain>
</file>

<file path=xl/sharedStrings.xml><?xml version="1.0" encoding="utf-8"?>
<sst xmlns="http://schemas.openxmlformats.org/spreadsheetml/2006/main" count="133" uniqueCount="69">
  <si>
    <t>ASSIGNMENT: Logical Functions &amp; Lookup</t>
  </si>
  <si>
    <t>QUESTIONS:</t>
  </si>
  <si>
    <t>STUDENT NAME</t>
  </si>
  <si>
    <t>MARKS</t>
  </si>
  <si>
    <t>Riya</t>
  </si>
  <si>
    <t>Siya</t>
  </si>
  <si>
    <t>Raju</t>
  </si>
  <si>
    <t>Rahul</t>
  </si>
  <si>
    <t>Ram</t>
  </si>
  <si>
    <t>Solution:</t>
  </si>
  <si>
    <t>RESULT</t>
  </si>
  <si>
    <t>FORMULA:  =IF(G27&gt;=40,"PASSED","FAILED")</t>
  </si>
  <si>
    <t>Q.2 A company gives a bonus  if sales are above 40,000 and attendance is greater than or equal to 90%. Write a formula to calculate whether the employee will get a bonus or not</t>
  </si>
  <si>
    <t>EMPLOYEE</t>
  </si>
  <si>
    <t>SALES</t>
  </si>
  <si>
    <t>ATTENDANCE</t>
  </si>
  <si>
    <t>Arjun</t>
  </si>
  <si>
    <t>Simran</t>
  </si>
  <si>
    <t>Rohit</t>
  </si>
  <si>
    <t>Anjali</t>
  </si>
  <si>
    <t xml:space="preserve"> Q.1 Write a formula to check if the marks in cell  are greater than or equal to 40. If NO, return "Fail"
 or return "Pass" </t>
  </si>
  <si>
    <t>BONUS</t>
  </si>
  <si>
    <t>Q.3 Write a nested IF formula:
 If marks are &gt;= 90 -&gt;"A", &gt;=75-&gt;"B",&gt;=50-&gt;"C", otherwise "FAIL".</t>
  </si>
  <si>
    <t>STUDENT NAMES</t>
  </si>
  <si>
    <t>Snehal</t>
  </si>
  <si>
    <t>Rani</t>
  </si>
  <si>
    <t>Vivek</t>
  </si>
  <si>
    <t>Neha</t>
  </si>
  <si>
    <t>Raj</t>
  </si>
  <si>
    <t>Q.4 Find the Department of Employee ID = E103. Also explain which LOOKUP function is used and why?</t>
  </si>
  <si>
    <t>EMP_ID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</si>
  <si>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</si>
  <si>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</si>
  <si>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</si>
  <si>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</si>
  <si>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</si>
  <si>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</si>
  <si>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</si>
  <si>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</si>
  <si>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Sales</t>
  </si>
  <si>
    <t>Finance</t>
  </si>
  <si>
    <t>HR</t>
  </si>
  <si>
    <t>IT</t>
  </si>
  <si>
    <t>Explanation:</t>
  </si>
  <si>
    <t>You’re searching vertically down a column (Employee IDs).</t>
  </si>
  <si>
    <t>We are using VLOOKUP function.</t>
  </si>
  <si>
    <t>You want to return related data (Department) from another column in the same row.</t>
  </si>
  <si>
    <t>Q.5 A company has set the following commission structure for its sales team.
 If a salesperson achieves sales of ₹45,000, use the VLOOKUP function to determine the commission rate 
applicable.</t>
  </si>
  <si>
    <t>SALES_AMOUNT</t>
  </si>
  <si>
    <t>COMMISSION_RATE</t>
  </si>
  <si>
    <t>SALE :</t>
  </si>
  <si>
    <t xml:space="preserve"> Q.6 The HR department maintains the following leave records of employees:onus or not </t>
  </si>
  <si>
    <t>EMPLOYEE NAME</t>
  </si>
  <si>
    <t>LEAVES TAKEN</t>
  </si>
  <si>
    <t>LEAVES ALLOWED</t>
  </si>
  <si>
    <t>Alex</t>
  </si>
  <si>
    <t>Bob</t>
  </si>
  <si>
    <t>Anna</t>
  </si>
  <si>
    <t xml:space="preserve"> Write an IF function to check whether an employee has Exceeded their allowed leave balance.</t>
  </si>
  <si>
    <t xml:space="preserve"> If Leaves Taken &gt; Allowed Leaves, display "Exceeded"</t>
  </si>
  <si>
    <t xml:space="preserve"> Otherwise, display "OK"</t>
  </si>
  <si>
    <t xml:space="preserve"> Q.7 Find the salary of EmpID = E105 using INDEX-MATCH Function</t>
  </si>
  <si>
    <t>SALARY</t>
  </si>
  <si>
    <t>E106</t>
  </si>
  <si>
    <t>E105</t>
  </si>
  <si>
    <t>Q.8 Use the XLOOKUP function to find the Department of the employee with Emp ID = E303.</t>
  </si>
  <si>
    <t>FINANCE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</si>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</sst>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Bahnschrift SemiLight SemiConde"/>
      <family val="2"/>
    </font>
    <font>
      <sz val="12"/>
      <color theme="1"/>
      <name val="Bahnschrift SemiLight SemiConde"/>
      <family val="2"/>
    </font>
    <font>
      <sz val="24"/>
      <color theme="1"/>
      <name val="Bahnschrift SemiLight SemiConde"/>
      <family val="2"/>
    </font>
    <font>
      <sz val="36"/>
      <color theme="1"/>
      <name val="Algerian"/>
      <family val="5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0" xfId="0" applyFill="1"/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9" borderId="0" xfId="0" applyFill="1"/>
    <xf numFmtId="0" fontId="0" fillId="8" borderId="1" xfId="0" applyFill="1" applyBorder="1"/>
    <xf numFmtId="0" fontId="0" fillId="8" borderId="0" xfId="0" applyFill="1" applyAlignment="1">
      <alignment horizontal="left" vertical="top"/>
    </xf>
    <xf numFmtId="9" fontId="0" fillId="3" borderId="1" xfId="0" applyNumberFormat="1" applyFill="1" applyBorder="1" applyAlignment="1">
      <alignment horizontal="center" vertical="center"/>
    </xf>
    <xf numFmtId="0" fontId="0" fillId="5" borderId="0" xfId="0" applyFill="1"/>
    <xf numFmtId="9" fontId="0" fillId="9" borderId="0" xfId="1" applyFont="1" applyFill="1"/>
    <xf numFmtId="0" fontId="0" fillId="2" borderId="0" xfId="0" applyFill="1" applyAlignment="1">
      <alignment horizontal="left" vertical="center"/>
    </xf>
    <xf numFmtId="0" fontId="0" fillId="5" borderId="1" xfId="0" applyFill="1" applyBorder="1" applyAlignment="1">
      <alignment horizontal="center" vertical="top"/>
    </xf>
    <xf numFmtId="0" fontId="0" fillId="8" borderId="1" xfId="0" applyFill="1" applyBorder="1" applyAlignment="1">
      <alignment horizontal="center" vertical="top"/>
    </xf>
    <xf numFmtId="0" fontId="0" fillId="1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205A-C5E8-4F7F-9CE0-2DAA3549C77F}">
  <dimension ref="E3:T31"/>
  <sheetViews>
    <sheetView topLeftCell="E10" workbookViewId="0">
      <selection activeCell="E12" sqref="E12:P13"/>
    </sheetView>
  </sheetViews>
  <sheetFormatPr defaultRowHeight="15" x14ac:dyDescent="0.25"/>
  <cols>
    <col min="6" max="6" width="12.796875" bestFit="1" customWidth="1"/>
  </cols>
  <sheetData>
    <row r="3" spans="5:20" ht="15" customHeight="1" x14ac:dyDescent="0.25">
      <c r="E3" s="1" t="s"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5:20" ht="15" customHeight="1" x14ac:dyDescent="0.25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5:20" ht="15" customHeight="1" x14ac:dyDescent="0.25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8" spans="5:20" x14ac:dyDescent="0.25">
      <c r="E8" s="2" t="s">
        <v>1</v>
      </c>
      <c r="F8" s="2"/>
      <c r="G8" s="2"/>
    </row>
    <row r="9" spans="5:20" x14ac:dyDescent="0.25">
      <c r="E9" s="2"/>
      <c r="F9" s="2"/>
      <c r="G9" s="2"/>
    </row>
    <row r="12" spans="5:20" x14ac:dyDescent="0.25">
      <c r="E12" s="3" t="s">
        <v>20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5:20" x14ac:dyDescent="0.25"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6" spans="5:20" x14ac:dyDescent="0.25">
      <c r="F16" s="4" t="s">
        <v>2</v>
      </c>
      <c r="G16" s="4" t="s">
        <v>3</v>
      </c>
    </row>
    <row r="17" spans="5:18" x14ac:dyDescent="0.25">
      <c r="F17" s="5" t="s">
        <v>4</v>
      </c>
      <c r="G17" s="5">
        <v>45</v>
      </c>
    </row>
    <row r="18" spans="5:18" x14ac:dyDescent="0.25">
      <c r="F18" s="5" t="s">
        <v>5</v>
      </c>
      <c r="G18" s="5">
        <v>72</v>
      </c>
    </row>
    <row r="19" spans="5:18" x14ac:dyDescent="0.25">
      <c r="F19" s="5" t="s">
        <v>6</v>
      </c>
      <c r="G19" s="5">
        <v>55</v>
      </c>
    </row>
    <row r="20" spans="5:18" x14ac:dyDescent="0.25">
      <c r="F20" s="5" t="s">
        <v>7</v>
      </c>
      <c r="G20" s="5">
        <v>80</v>
      </c>
    </row>
    <row r="21" spans="5:18" x14ac:dyDescent="0.25">
      <c r="F21" s="5" t="s">
        <v>8</v>
      </c>
      <c r="G21" s="5">
        <v>30</v>
      </c>
    </row>
    <row r="24" spans="5:18" x14ac:dyDescent="0.25">
      <c r="E24" s="9" t="s">
        <v>9</v>
      </c>
    </row>
    <row r="26" spans="5:18" x14ac:dyDescent="0.25">
      <c r="F26" s="4" t="s">
        <v>2</v>
      </c>
      <c r="G26" s="4" t="s">
        <v>3</v>
      </c>
      <c r="H26" s="8" t="s">
        <v>10</v>
      </c>
    </row>
    <row r="27" spans="5:18" x14ac:dyDescent="0.25">
      <c r="F27" s="5" t="s">
        <v>4</v>
      </c>
      <c r="G27" s="5">
        <v>45</v>
      </c>
      <c r="H27" s="7" t="str">
        <f>IF(G27&gt;=40,"PASSED","FAILED")</f>
        <v>PASSED</v>
      </c>
      <c r="J27" s="6" t="s">
        <v>11</v>
      </c>
      <c r="K27" s="6"/>
      <c r="L27" s="6"/>
      <c r="M27" s="6"/>
      <c r="N27" s="6"/>
      <c r="O27" s="6"/>
      <c r="P27" s="6"/>
      <c r="Q27" s="6"/>
      <c r="R27" s="6"/>
    </row>
    <row r="28" spans="5:18" x14ac:dyDescent="0.25">
      <c r="F28" s="5" t="s">
        <v>5</v>
      </c>
      <c r="G28" s="5">
        <v>72</v>
      </c>
      <c r="H28" s="7" t="str">
        <f t="shared" ref="H28:H31" si="0">IF(G28&gt;=40,"PASSED","FAILED")</f>
        <v>PASSED</v>
      </c>
      <c r="J28" s="6"/>
      <c r="K28" s="6"/>
      <c r="L28" s="6"/>
      <c r="M28" s="6"/>
      <c r="N28" s="6"/>
      <c r="O28" s="6"/>
      <c r="P28" s="6"/>
      <c r="Q28" s="6"/>
      <c r="R28" s="6"/>
    </row>
    <row r="29" spans="5:18" x14ac:dyDescent="0.25">
      <c r="F29" s="5" t="s">
        <v>6</v>
      </c>
      <c r="G29" s="5">
        <v>55</v>
      </c>
      <c r="H29" s="7" t="str">
        <f t="shared" si="0"/>
        <v>PASSED</v>
      </c>
    </row>
    <row r="30" spans="5:18" x14ac:dyDescent="0.25">
      <c r="F30" s="5" t="s">
        <v>7</v>
      </c>
      <c r="G30" s="5">
        <v>80</v>
      </c>
      <c r="H30" s="7" t="str">
        <f t="shared" si="0"/>
        <v>PASSED</v>
      </c>
    </row>
    <row r="31" spans="5:18" x14ac:dyDescent="0.25">
      <c r="F31" s="5" t="s">
        <v>8</v>
      </c>
      <c r="G31" s="5">
        <v>30</v>
      </c>
      <c r="H31" s="7" t="str">
        <f t="shared" si="0"/>
        <v>FAILED</v>
      </c>
    </row>
  </sheetData>
  <mergeCells count="4">
    <mergeCell ref="E3:T5"/>
    <mergeCell ref="E8:G9"/>
    <mergeCell ref="E12:P13"/>
    <mergeCell ref="J27:R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B5CB-D4E1-4CE5-95F3-94B4F669C896}">
  <dimension ref="D5:S23"/>
  <sheetViews>
    <sheetView topLeftCell="B1" workbookViewId="0">
      <selection activeCell="I15" sqref="I15"/>
    </sheetView>
  </sheetViews>
  <sheetFormatPr defaultRowHeight="15" x14ac:dyDescent="0.25"/>
  <cols>
    <col min="5" max="5" width="9.19921875" bestFit="1" customWidth="1"/>
    <col min="7" max="7" width="11" bestFit="1" customWidth="1"/>
  </cols>
  <sheetData>
    <row r="5" spans="4:19" x14ac:dyDescent="0.25">
      <c r="D5" s="10" t="s">
        <v>12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4:19" x14ac:dyDescent="0.25"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4:19" x14ac:dyDescent="0.25"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17" spans="4:8" x14ac:dyDescent="0.25">
      <c r="D17" s="13" t="s">
        <v>9</v>
      </c>
    </row>
    <row r="19" spans="4:8" x14ac:dyDescent="0.25">
      <c r="E19" s="12" t="s">
        <v>13</v>
      </c>
      <c r="F19" s="12" t="s">
        <v>14</v>
      </c>
      <c r="G19" s="12" t="s">
        <v>15</v>
      </c>
      <c r="H19" s="14" t="s">
        <v>21</v>
      </c>
    </row>
    <row r="20" spans="4:8" x14ac:dyDescent="0.25">
      <c r="E20" s="11" t="s">
        <v>16</v>
      </c>
      <c r="F20" s="11">
        <v>55000</v>
      </c>
      <c r="G20" s="11">
        <v>95</v>
      </c>
      <c r="H20" s="15" t="str">
        <f>IF(AND(F20&gt;40000,G20&gt;=90),"YES","NO")</f>
        <v>YES</v>
      </c>
    </row>
    <row r="21" spans="4:8" x14ac:dyDescent="0.25">
      <c r="E21" s="11" t="s">
        <v>17</v>
      </c>
      <c r="F21" s="11">
        <v>65000</v>
      </c>
      <c r="G21" s="11">
        <v>85</v>
      </c>
      <c r="H21" s="15" t="str">
        <f t="shared" ref="H21:H23" si="0">IF(AND(F21&gt;40000,G21&gt;=90),"YES","NO")</f>
        <v>NO</v>
      </c>
    </row>
    <row r="22" spans="4:8" x14ac:dyDescent="0.25">
      <c r="E22" s="11" t="s">
        <v>18</v>
      </c>
      <c r="F22" s="11">
        <v>30000</v>
      </c>
      <c r="G22" s="11">
        <v>90</v>
      </c>
      <c r="H22" s="15" t="str">
        <f t="shared" si="0"/>
        <v>NO</v>
      </c>
    </row>
    <row r="23" spans="4:8" x14ac:dyDescent="0.25">
      <c r="E23" s="11" t="s">
        <v>19</v>
      </c>
      <c r="F23" s="11">
        <v>25000</v>
      </c>
      <c r="G23" s="11">
        <v>65</v>
      </c>
      <c r="H23" s="15" t="str">
        <f t="shared" si="0"/>
        <v>NO</v>
      </c>
    </row>
  </sheetData>
  <mergeCells count="1">
    <mergeCell ref="D5:S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3623-5AF3-4377-AD01-D6028F3EEF89}">
  <dimension ref="C3:J22"/>
  <sheetViews>
    <sheetView workbookViewId="0">
      <selection activeCell="H12" sqref="H12"/>
    </sheetView>
  </sheetViews>
  <sheetFormatPr defaultRowHeight="15" x14ac:dyDescent="0.25"/>
  <cols>
    <col min="3" max="4" width="13.8984375" bestFit="1" customWidth="1"/>
  </cols>
  <sheetData>
    <row r="3" spans="3:10" x14ac:dyDescent="0.25">
      <c r="C3" s="16" t="s">
        <v>22</v>
      </c>
      <c r="D3" s="17"/>
      <c r="E3" s="17"/>
      <c r="F3" s="17"/>
      <c r="G3" s="17"/>
      <c r="H3" s="17"/>
      <c r="I3" s="17"/>
      <c r="J3" s="17"/>
    </row>
    <row r="4" spans="3:10" x14ac:dyDescent="0.25">
      <c r="C4" s="17"/>
      <c r="D4" s="17"/>
      <c r="E4" s="17"/>
      <c r="F4" s="17"/>
      <c r="G4" s="17"/>
      <c r="H4" s="17"/>
      <c r="I4" s="17"/>
      <c r="J4" s="17"/>
    </row>
    <row r="5" spans="3:10" x14ac:dyDescent="0.25">
      <c r="C5" s="17"/>
      <c r="D5" s="17"/>
      <c r="E5" s="17"/>
      <c r="F5" s="17"/>
      <c r="G5" s="17"/>
      <c r="H5" s="17"/>
      <c r="I5" s="17"/>
      <c r="J5" s="17"/>
    </row>
    <row r="8" spans="3:10" x14ac:dyDescent="0.25">
      <c r="C8" s="18" t="s">
        <v>23</v>
      </c>
      <c r="D8" s="18" t="s">
        <v>3</v>
      </c>
    </row>
    <row r="9" spans="3:10" x14ac:dyDescent="0.25">
      <c r="C9" s="11" t="s">
        <v>28</v>
      </c>
      <c r="D9" s="11">
        <v>85</v>
      </c>
    </row>
    <row r="10" spans="3:10" x14ac:dyDescent="0.25">
      <c r="C10" s="11" t="s">
        <v>27</v>
      </c>
      <c r="D10" s="11">
        <v>96</v>
      </c>
    </row>
    <row r="11" spans="3:10" x14ac:dyDescent="0.25">
      <c r="C11" s="11" t="s">
        <v>26</v>
      </c>
      <c r="D11" s="11">
        <v>57</v>
      </c>
    </row>
    <row r="12" spans="3:10" x14ac:dyDescent="0.25">
      <c r="C12" s="11" t="s">
        <v>25</v>
      </c>
      <c r="D12" s="11">
        <v>92</v>
      </c>
    </row>
    <row r="13" spans="3:10" x14ac:dyDescent="0.25">
      <c r="C13" s="11" t="s">
        <v>24</v>
      </c>
      <c r="D13" s="11">
        <v>75</v>
      </c>
    </row>
    <row r="15" spans="3:10" x14ac:dyDescent="0.25">
      <c r="C15" s="19" t="s">
        <v>9</v>
      </c>
    </row>
    <row r="17" spans="4:6" x14ac:dyDescent="0.25">
      <c r="D17" s="18" t="s">
        <v>23</v>
      </c>
      <c r="E17" s="18" t="s">
        <v>3</v>
      </c>
      <c r="F17" s="22" t="s">
        <v>10</v>
      </c>
    </row>
    <row r="18" spans="4:6" x14ac:dyDescent="0.25">
      <c r="D18" s="11" t="s">
        <v>28</v>
      </c>
      <c r="E18" s="11">
        <v>85</v>
      </c>
      <c r="F18" s="15" t="str">
        <f>IF(E18&gt;=90,"A",IF(E18&gt;=75,"B",IF(E18&gt;=50,"C","FAIL")))</f>
        <v>B</v>
      </c>
    </row>
    <row r="19" spans="4:6" x14ac:dyDescent="0.25">
      <c r="D19" s="11" t="s">
        <v>27</v>
      </c>
      <c r="E19" s="11">
        <v>96</v>
      </c>
      <c r="F19" s="15" t="str">
        <f t="shared" ref="F19:F22" si="0">IF(E19&gt;=90,"A",IF(E19&gt;=75,"B",IF(E19&gt;=50,"C","FAIL")))</f>
        <v>A</v>
      </c>
    </row>
    <row r="20" spans="4:6" x14ac:dyDescent="0.25">
      <c r="D20" s="11" t="s">
        <v>26</v>
      </c>
      <c r="E20" s="11">
        <v>57</v>
      </c>
      <c r="F20" s="15" t="str">
        <f t="shared" si="0"/>
        <v>C</v>
      </c>
    </row>
    <row r="21" spans="4:6" x14ac:dyDescent="0.25">
      <c r="D21" s="11" t="s">
        <v>25</v>
      </c>
      <c r="E21" s="11">
        <v>92</v>
      </c>
      <c r="F21" s="15" t="str">
        <f t="shared" si="0"/>
        <v>A</v>
      </c>
    </row>
    <row r="22" spans="4:6" x14ac:dyDescent="0.25">
      <c r="D22" s="11" t="s">
        <v>24</v>
      </c>
      <c r="E22" s="11">
        <v>75</v>
      </c>
      <c r="F22" s="15" t="str">
        <f t="shared" si="0"/>
        <v>B</v>
      </c>
    </row>
  </sheetData>
  <mergeCells count="1">
    <mergeCell ref="C3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6D5B-9351-4BEE-B28C-4113160C7A2B}">
  <dimension ref="C4:M28"/>
  <sheetViews>
    <sheetView topLeftCell="A4" workbookViewId="0">
      <selection activeCell="E34" sqref="E34"/>
    </sheetView>
  </sheetViews>
  <sheetFormatPr defaultRowHeight="15" x14ac:dyDescent="0.25"/>
  <cols>
    <col min="3" max="3" width="10.296875" bestFit="1" customWidth="1"/>
    <col min="6" max="6" width="11.296875" bestFit="1" customWidth="1"/>
  </cols>
  <sheetData>
    <row r="4" spans="3:13" x14ac:dyDescent="0.25">
      <c r="C4" s="10" t="s">
        <v>29</v>
      </c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3:13" x14ac:dyDescent="0.25"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8" spans="3:13" x14ac:dyDescent="0.25">
      <c r="D8" s="4" t="s">
        <v>30</v>
      </c>
      <c r="E8" s="4" t="s">
        <v>31</v>
      </c>
      <c r="F8" s="4" t="s">
        <v>32</v>
      </c>
    </row>
    <row r="9" spans="3:13" x14ac:dyDescent="0.25">
      <c r="D9" s="5" t="s">
        <v>33</v>
      </c>
      <c r="E9" s="5" t="s">
        <v>6</v>
      </c>
      <c r="F9" s="5" t="s">
        <v>42</v>
      </c>
    </row>
    <row r="10" spans="3:13" x14ac:dyDescent="0.25">
      <c r="D10" s="5" t="s">
        <v>34</v>
      </c>
      <c r="E10" s="5" t="s">
        <v>4</v>
      </c>
      <c r="F10" s="5" t="s">
        <v>41</v>
      </c>
    </row>
    <row r="11" spans="3:13" x14ac:dyDescent="0.25">
      <c r="D11" s="5" t="s">
        <v>35</v>
      </c>
      <c r="E11" s="5" t="s">
        <v>37</v>
      </c>
      <c r="F11" s="5" t="s">
        <v>40</v>
      </c>
    </row>
    <row r="12" spans="3:13" x14ac:dyDescent="0.25">
      <c r="D12" s="5" t="s">
        <v>36</v>
      </c>
      <c r="E12" s="5" t="s">
        <v>38</v>
      </c>
      <c r="F12" s="5" t="s">
        <v>39</v>
      </c>
    </row>
    <row r="15" spans="3:13" x14ac:dyDescent="0.25">
      <c r="C15" s="23" t="s">
        <v>9</v>
      </c>
    </row>
    <row r="17" spans="3:11" x14ac:dyDescent="0.25">
      <c r="D17" s="4" t="s">
        <v>30</v>
      </c>
      <c r="E17" s="4" t="s">
        <v>31</v>
      </c>
      <c r="F17" s="4" t="s">
        <v>32</v>
      </c>
    </row>
    <row r="18" spans="3:11" x14ac:dyDescent="0.25">
      <c r="D18" s="5" t="s">
        <v>33</v>
      </c>
      <c r="E18" s="5" t="s">
        <v>6</v>
      </c>
      <c r="F18" s="5" t="s">
        <v>42</v>
      </c>
      <c r="H18" s="24" t="str">
        <f>VLOOKUP("E103",D18:F21,3,FALSE)</f>
        <v>Finance</v>
      </c>
    </row>
    <row r="19" spans="3:11" x14ac:dyDescent="0.25">
      <c r="D19" s="5" t="s">
        <v>34</v>
      </c>
      <c r="E19" s="5" t="s">
        <v>4</v>
      </c>
      <c r="F19" s="5" t="s">
        <v>41</v>
      </c>
    </row>
    <row r="20" spans="3:11" x14ac:dyDescent="0.25">
      <c r="D20" s="5" t="s">
        <v>35</v>
      </c>
      <c r="E20" s="5" t="s">
        <v>37</v>
      </c>
      <c r="F20" s="5" t="s">
        <v>40</v>
      </c>
    </row>
    <row r="21" spans="3:11" x14ac:dyDescent="0.25">
      <c r="D21" s="5" t="s">
        <v>36</v>
      </c>
      <c r="E21" s="5" t="s">
        <v>38</v>
      </c>
      <c r="F21" s="5" t="s">
        <v>39</v>
      </c>
    </row>
    <row r="24" spans="3:11" x14ac:dyDescent="0.25">
      <c r="C24" s="13" t="s">
        <v>43</v>
      </c>
    </row>
    <row r="26" spans="3:11" x14ac:dyDescent="0.25">
      <c r="D26" s="25" t="s">
        <v>45</v>
      </c>
      <c r="E26" s="25"/>
      <c r="F26" s="25"/>
      <c r="G26" s="25"/>
      <c r="H26" s="25"/>
      <c r="I26" s="25"/>
      <c r="J26" s="25"/>
      <c r="K26" s="25"/>
    </row>
    <row r="27" spans="3:11" x14ac:dyDescent="0.25">
      <c r="D27" s="25" t="s">
        <v>44</v>
      </c>
      <c r="E27" s="25"/>
      <c r="F27" s="25"/>
      <c r="G27" s="25"/>
      <c r="H27" s="25"/>
      <c r="I27" s="25"/>
      <c r="J27" s="25"/>
      <c r="K27" s="25"/>
    </row>
    <row r="28" spans="3:11" x14ac:dyDescent="0.25">
      <c r="D28" s="25" t="s">
        <v>46</v>
      </c>
      <c r="E28" s="25"/>
      <c r="F28" s="25"/>
      <c r="G28" s="25"/>
      <c r="H28" s="25"/>
      <c r="I28" s="25"/>
      <c r="J28" s="25"/>
      <c r="K28" s="25"/>
    </row>
  </sheetData>
  <mergeCells count="4">
    <mergeCell ref="C4:M5"/>
    <mergeCell ref="D27:K27"/>
    <mergeCell ref="D28:K28"/>
    <mergeCell ref="D26:K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A6E0-DD77-478D-937A-B402D008D8D2}">
  <dimension ref="D3:T18"/>
  <sheetViews>
    <sheetView workbookViewId="0">
      <selection activeCell="E19" sqref="E19"/>
    </sheetView>
  </sheetViews>
  <sheetFormatPr defaultRowHeight="15" x14ac:dyDescent="0.25"/>
  <cols>
    <col min="5" max="5" width="13.296875" bestFit="1" customWidth="1"/>
    <col min="6" max="6" width="15.69921875" bestFit="1" customWidth="1"/>
  </cols>
  <sheetData>
    <row r="3" spans="4:20" ht="15" customHeight="1" x14ac:dyDescent="0.25">
      <c r="D3" s="17" t="s">
        <v>47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4:20" x14ac:dyDescent="0.25"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4:20" x14ac:dyDescent="0.25"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8" spans="4:20" x14ac:dyDescent="0.25">
      <c r="E8" s="18" t="s">
        <v>48</v>
      </c>
      <c r="F8" s="18" t="s">
        <v>49</v>
      </c>
    </row>
    <row r="9" spans="4:20" x14ac:dyDescent="0.25">
      <c r="E9" s="11">
        <v>0</v>
      </c>
      <c r="F9" s="26">
        <v>0.05</v>
      </c>
    </row>
    <row r="10" spans="4:20" x14ac:dyDescent="0.25">
      <c r="E10" s="11">
        <v>20000</v>
      </c>
      <c r="F10" s="26">
        <v>0.1</v>
      </c>
    </row>
    <row r="11" spans="4:20" x14ac:dyDescent="0.25">
      <c r="E11" s="11">
        <v>50000</v>
      </c>
      <c r="F11" s="26">
        <v>0.15</v>
      </c>
    </row>
    <row r="12" spans="4:20" x14ac:dyDescent="0.25">
      <c r="E12" s="11">
        <v>80000</v>
      </c>
      <c r="F12" s="26">
        <v>0.2</v>
      </c>
    </row>
    <row r="15" spans="4:20" x14ac:dyDescent="0.25">
      <c r="D15" s="23" t="s">
        <v>9</v>
      </c>
    </row>
    <row r="17" spans="5:6" x14ac:dyDescent="0.25">
      <c r="E17" s="21" t="s">
        <v>50</v>
      </c>
      <c r="F17" s="27" t="s">
        <v>49</v>
      </c>
    </row>
    <row r="18" spans="5:6" x14ac:dyDescent="0.25">
      <c r="E18" s="20">
        <v>45000</v>
      </c>
      <c r="F18" s="28">
        <f>VLOOKUP(E18,E9:F12,2,TRUE)</f>
        <v>0.1</v>
      </c>
    </row>
  </sheetData>
  <mergeCells count="1">
    <mergeCell ref="D3:T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DCEF-940C-42A2-8EA6-B7643C945FBD}">
  <dimension ref="D4:M23"/>
  <sheetViews>
    <sheetView topLeftCell="C1" workbookViewId="0">
      <selection activeCell="J20" sqref="J20"/>
    </sheetView>
  </sheetViews>
  <sheetFormatPr defaultRowHeight="15" x14ac:dyDescent="0.25"/>
  <cols>
    <col min="5" max="5" width="14.296875" bestFit="1" customWidth="1"/>
    <col min="6" max="6" width="12.5" bestFit="1" customWidth="1"/>
    <col min="7" max="7" width="15" bestFit="1" customWidth="1"/>
  </cols>
  <sheetData>
    <row r="4" spans="4:13" x14ac:dyDescent="0.25">
      <c r="D4" s="10" t="s">
        <v>51</v>
      </c>
      <c r="E4" s="10"/>
      <c r="F4" s="10"/>
      <c r="G4" s="10"/>
      <c r="H4" s="10"/>
      <c r="I4" s="10"/>
      <c r="J4" s="10"/>
      <c r="K4" s="10"/>
      <c r="L4" s="10"/>
      <c r="M4" s="10"/>
    </row>
    <row r="5" spans="4:13" x14ac:dyDescent="0.25">
      <c r="D5" s="10"/>
      <c r="E5" s="10"/>
      <c r="F5" s="10"/>
      <c r="G5" s="10"/>
      <c r="H5" s="10"/>
      <c r="I5" s="10"/>
      <c r="J5" s="10"/>
      <c r="K5" s="10"/>
      <c r="L5" s="10"/>
      <c r="M5" s="10"/>
    </row>
    <row r="8" spans="4:13" x14ac:dyDescent="0.25">
      <c r="E8" s="4" t="s">
        <v>52</v>
      </c>
      <c r="F8" s="4" t="s">
        <v>53</v>
      </c>
      <c r="G8" s="4" t="s">
        <v>54</v>
      </c>
    </row>
    <row r="9" spans="4:13" x14ac:dyDescent="0.25">
      <c r="E9" s="5" t="s">
        <v>55</v>
      </c>
      <c r="F9" s="5">
        <v>10</v>
      </c>
      <c r="G9" s="5">
        <v>12</v>
      </c>
    </row>
    <row r="10" spans="4:13" x14ac:dyDescent="0.25">
      <c r="E10" s="5" t="s">
        <v>56</v>
      </c>
      <c r="F10" s="5">
        <v>10</v>
      </c>
      <c r="G10" s="5">
        <v>15</v>
      </c>
    </row>
    <row r="11" spans="4:13" x14ac:dyDescent="0.25">
      <c r="E11" s="5" t="s">
        <v>57</v>
      </c>
      <c r="F11" s="5">
        <v>8</v>
      </c>
      <c r="G11" s="5">
        <v>12</v>
      </c>
    </row>
    <row r="13" spans="4:13" x14ac:dyDescent="0.25">
      <c r="D13" s="17" t="s">
        <v>58</v>
      </c>
      <c r="E13" s="17"/>
      <c r="F13" s="17"/>
      <c r="G13" s="17"/>
      <c r="H13" s="17"/>
      <c r="I13" s="17"/>
      <c r="J13" s="17"/>
      <c r="K13" s="17"/>
      <c r="L13" s="17"/>
    </row>
    <row r="14" spans="4:13" x14ac:dyDescent="0.25">
      <c r="D14" s="17" t="s">
        <v>59</v>
      </c>
      <c r="E14" s="17"/>
      <c r="F14" s="17"/>
      <c r="G14" s="17"/>
      <c r="H14" s="17"/>
      <c r="I14" s="17"/>
      <c r="J14" s="17"/>
      <c r="K14" s="29"/>
      <c r="L14" s="29"/>
    </row>
    <row r="15" spans="4:13" x14ac:dyDescent="0.25">
      <c r="D15" s="17" t="s">
        <v>60</v>
      </c>
      <c r="E15" s="17"/>
      <c r="F15" s="17"/>
      <c r="G15" s="17"/>
      <c r="H15" s="17"/>
      <c r="I15" s="17"/>
      <c r="J15" s="17"/>
      <c r="K15" s="17"/>
      <c r="L15" s="17"/>
    </row>
    <row r="18" spans="4:8" x14ac:dyDescent="0.25">
      <c r="D18" s="23" t="s">
        <v>9</v>
      </c>
    </row>
    <row r="20" spans="4:8" x14ac:dyDescent="0.25">
      <c r="E20" s="4" t="s">
        <v>52</v>
      </c>
      <c r="F20" s="4" t="s">
        <v>53</v>
      </c>
      <c r="G20" s="4" t="s">
        <v>54</v>
      </c>
      <c r="H20" s="30" t="s">
        <v>10</v>
      </c>
    </row>
    <row r="21" spans="4:8" x14ac:dyDescent="0.25">
      <c r="E21" s="5" t="s">
        <v>55</v>
      </c>
      <c r="F21" s="5">
        <v>10</v>
      </c>
      <c r="G21" s="5">
        <v>12</v>
      </c>
      <c r="H21" s="31" t="str">
        <f>IF(F21&gt;G21,"EXCEEDED","OK")</f>
        <v>OK</v>
      </c>
    </row>
    <row r="22" spans="4:8" x14ac:dyDescent="0.25">
      <c r="E22" s="5" t="s">
        <v>56</v>
      </c>
      <c r="F22" s="5">
        <v>10</v>
      </c>
      <c r="G22" s="5">
        <v>15</v>
      </c>
      <c r="H22" s="31" t="str">
        <f t="shared" ref="H22:H23" si="0">IF(F22&gt;G22,"EXCEEDED","OK")</f>
        <v>OK</v>
      </c>
    </row>
    <row r="23" spans="4:8" x14ac:dyDescent="0.25">
      <c r="E23" s="5" t="s">
        <v>57</v>
      </c>
      <c r="F23" s="5">
        <v>8</v>
      </c>
      <c r="G23" s="5">
        <v>12</v>
      </c>
      <c r="H23" s="31" t="str">
        <f t="shared" si="0"/>
        <v>OK</v>
      </c>
    </row>
  </sheetData>
  <mergeCells count="4">
    <mergeCell ref="D4:M5"/>
    <mergeCell ref="D13:L13"/>
    <mergeCell ref="D14:J14"/>
    <mergeCell ref="D15:L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9E9A-031B-4E49-BB59-96623EB5D5FD}">
  <dimension ref="D4:M18"/>
  <sheetViews>
    <sheetView topLeftCell="C1" workbookViewId="0">
      <selection activeCell="H20" sqref="H20"/>
    </sheetView>
  </sheetViews>
  <sheetFormatPr defaultRowHeight="15" x14ac:dyDescent="0.25"/>
  <sheetData>
    <row r="4" spans="4:13" x14ac:dyDescent="0.25">
      <c r="D4" s="10" t="s">
        <v>61</v>
      </c>
      <c r="E4" s="10"/>
      <c r="F4" s="10"/>
      <c r="G4" s="10"/>
      <c r="H4" s="10"/>
      <c r="I4" s="10"/>
      <c r="J4" s="10"/>
      <c r="K4" s="10"/>
      <c r="L4" s="10"/>
      <c r="M4" s="10"/>
    </row>
    <row r="5" spans="4:13" x14ac:dyDescent="0.25">
      <c r="D5" s="10"/>
      <c r="E5" s="10"/>
      <c r="F5" s="10"/>
      <c r="G5" s="10"/>
      <c r="H5" s="10"/>
      <c r="I5" s="10"/>
      <c r="J5" s="10"/>
      <c r="K5" s="10"/>
      <c r="L5" s="10"/>
      <c r="M5" s="10"/>
    </row>
    <row r="8" spans="4:13" x14ac:dyDescent="0.25">
      <c r="E8" s="4" t="s">
        <v>30</v>
      </c>
      <c r="F8" s="4" t="s">
        <v>62</v>
      </c>
    </row>
    <row r="9" spans="4:13" x14ac:dyDescent="0.25">
      <c r="E9" s="5" t="s">
        <v>36</v>
      </c>
      <c r="F9" s="5">
        <v>55000</v>
      </c>
    </row>
    <row r="10" spans="4:13" x14ac:dyDescent="0.25">
      <c r="E10" s="5" t="s">
        <v>64</v>
      </c>
      <c r="F10" s="5">
        <v>72000</v>
      </c>
    </row>
    <row r="11" spans="4:13" x14ac:dyDescent="0.25">
      <c r="E11" s="5" t="s">
        <v>63</v>
      </c>
      <c r="F11" s="5">
        <v>62000</v>
      </c>
    </row>
    <row r="12" spans="4:13" x14ac:dyDescent="0.25">
      <c r="E12" s="5" t="s">
        <v>34</v>
      </c>
      <c r="F12" s="5">
        <v>41000</v>
      </c>
    </row>
    <row r="15" spans="4:13" x14ac:dyDescent="0.25">
      <c r="D15" s="23" t="s">
        <v>9</v>
      </c>
    </row>
    <row r="17" spans="5:6" x14ac:dyDescent="0.25">
      <c r="E17" s="32" t="s">
        <v>30</v>
      </c>
      <c r="F17" s="22" t="s">
        <v>62</v>
      </c>
    </row>
    <row r="18" spans="5:6" x14ac:dyDescent="0.25">
      <c r="E18" s="33" t="s">
        <v>64</v>
      </c>
      <c r="F18" s="15">
        <f>INDEX(F9:F12, MATCH(E18, E9:E12, 0))</f>
        <v>72000</v>
      </c>
    </row>
  </sheetData>
  <mergeCells count="1">
    <mergeCell ref="D4:M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6B8F4-7120-43B9-82FA-24CBFEF8EEE7}">
  <dimension ref="C4:M18"/>
  <sheetViews>
    <sheetView tabSelected="1" workbookViewId="0">
      <selection activeCell="E18" sqref="E18"/>
    </sheetView>
  </sheetViews>
  <sheetFormatPr defaultRowHeight="15" x14ac:dyDescent="0.25"/>
  <cols>
    <col min="5" max="5" width="11.296875" bestFit="1" customWidth="1"/>
  </cols>
  <sheetData>
    <row r="4" spans="3:13" x14ac:dyDescent="0.25">
      <c r="C4" s="34" t="s">
        <v>65</v>
      </c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3:13" x14ac:dyDescent="0.25"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8" spans="3:13" x14ac:dyDescent="0.25">
      <c r="D8" s="35" t="s">
        <v>30</v>
      </c>
      <c r="E8" s="35" t="s">
        <v>32</v>
      </c>
    </row>
    <row r="9" spans="3:13" x14ac:dyDescent="0.25">
      <c r="D9" s="5" t="s">
        <v>33</v>
      </c>
      <c r="E9" s="5" t="s">
        <v>41</v>
      </c>
    </row>
    <row r="10" spans="3:13" x14ac:dyDescent="0.25">
      <c r="D10" s="5" t="s">
        <v>67</v>
      </c>
      <c r="E10" s="5" t="s">
        <v>42</v>
      </c>
    </row>
    <row r="11" spans="3:13" x14ac:dyDescent="0.25">
      <c r="D11" s="5" t="s">
        <v>63</v>
      </c>
      <c r="E11" s="5" t="s">
        <v>14</v>
      </c>
    </row>
    <row r="12" spans="3:13" x14ac:dyDescent="0.25">
      <c r="D12" s="5" t="s">
        <v>68</v>
      </c>
      <c r="E12" s="5" t="s">
        <v>66</v>
      </c>
    </row>
    <row r="15" spans="3:13" x14ac:dyDescent="0.25">
      <c r="C15" s="23" t="s">
        <v>9</v>
      </c>
    </row>
    <row r="17" spans="4:5" x14ac:dyDescent="0.25">
      <c r="D17" s="36" t="s">
        <v>30</v>
      </c>
      <c r="E17" s="21" t="s">
        <v>32</v>
      </c>
    </row>
    <row r="18" spans="4:5" x14ac:dyDescent="0.25">
      <c r="D18" s="37" t="s">
        <v>67</v>
      </c>
      <c r="E18" s="20" t="str">
        <f>_xlfn.XLOOKUP(D18,D9:D12,E9:E12)</f>
        <v>IT</v>
      </c>
    </row>
  </sheetData>
  <mergeCells count="1">
    <mergeCell ref="C4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Vishwase</dc:creator>
  <cp:lastModifiedBy>Abhijit Vishwase</cp:lastModifiedBy>
  <dcterms:created xsi:type="dcterms:W3CDTF">2025-11-10T15:04:19Z</dcterms:created>
  <dcterms:modified xsi:type="dcterms:W3CDTF">2025-11-10T16:33:44Z</dcterms:modified>
</cp:coreProperties>
</file>